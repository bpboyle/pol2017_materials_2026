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ropbox\Work\Teaching\2023-2024\POL2017\course_content\w08_\"/>
    </mc:Choice>
  </mc:AlternateContent>
  <xr:revisionPtr revIDLastSave="0" documentId="13_ncr:1_{80F28AA3-B16A-4673-A3B2-2CBF48118FED}" xr6:coauthVersionLast="47" xr6:coauthVersionMax="47" xr10:uidLastSave="{00000000-0000-0000-0000-000000000000}"/>
  <bookViews>
    <workbookView xWindow="9600" yWindow="0" windowWidth="9600" windowHeight="10200" activeTab="2" xr2:uid="{5FF26798-A763-466E-885A-F22368BBEE58}"/>
  </bookViews>
  <sheets>
    <sheet name="tweets" sheetId="3" r:id="rId1"/>
    <sheet name="tweets_coded" sheetId="1" r:id="rId2"/>
    <sheet name="tweets_headlines_cod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D25" i="2"/>
  <c r="H24" i="2"/>
  <c r="G24" i="2"/>
  <c r="F24" i="2"/>
  <c r="E24" i="2"/>
  <c r="D24" i="2"/>
  <c r="E14" i="2"/>
  <c r="H13" i="2"/>
  <c r="H14" i="2" s="1"/>
  <c r="G13" i="2"/>
  <c r="G14" i="2" s="1"/>
  <c r="F13" i="2"/>
  <c r="F14" i="2" s="1"/>
  <c r="E13" i="2"/>
  <c r="D13" i="2"/>
  <c r="D14" i="2" s="1"/>
  <c r="F14" i="1"/>
  <c r="G14" i="1"/>
  <c r="H14" i="1"/>
  <c r="H13" i="1"/>
  <c r="G13" i="1"/>
  <c r="F13" i="1"/>
  <c r="E13" i="1"/>
  <c r="E14" i="1" s="1"/>
  <c r="D13" i="1"/>
  <c r="D14" i="1" s="1"/>
</calcChain>
</file>

<file path=xl/sharedStrings.xml><?xml version="1.0" encoding="utf-8"?>
<sst xmlns="http://schemas.openxmlformats.org/spreadsheetml/2006/main" count="151" uniqueCount="45">
  <si>
    <t>Shame on @bbcquestiontime for not accepting replacement UKIP guest this evening ï¿½.. Typical BBC bias rears its ugly head yet again</t>
  </si>
  <si>
    <t>C'mon @bbcqt it's beyond a joke now! UKIP featuring twice in 3 weeks. Is there an agenda here? Is basis MP nos, poll ratings or pure bias?</t>
  </si>
  <si>
    <t>@iAlexhunt @bbcquestiontime very biased programme with a very biased host from a very biased broadcaster with a hand picked audience</t>
  </si>
  <si>
    <t>@oowmygawd Thankfully ##bbcqt has a well respected, entirely unbiased Chair ... oh wait ... no ...</t>
  </si>
  <si>
    <t>So we have gorgeous George on #bbcqt.. should be fun with the standard biased audience.</t>
  </si>
  <si>
    <t>Classic anti-Labour bias on the BBC. Wanting big business to divvy up its taxes does not make Labour anti-business. #BBCqt</t>
  </si>
  <si>
    <t>@bbcquestiontime @oflynnmep I think this programme is a disgrace and so Tory biased .Shame on you BBC . All it needed was Kunsberg</t>
  </si>
  <si>
    <t>text</t>
  </si>
  <si>
    <t>text_id</t>
  </si>
  <si>
    <t>@bbcquestiontime Turned off! Right wing pro-Brexit bias of the BBC in full effect. Two CON and one UKIP! No Lib. No Greens. Disgraceful!</t>
  </si>
  <si>
    <t>#bbcqt what a disgraceful show this is - very obvious probrexit biased audience and the SNP being virtually ignored by the chair. Actually that sums up the UK from a Scottish viewpoint</t>
  </si>
  <si>
    <t>#bbcqt Hopelessly biased program . Chair constantly interrupting the Labour spokesman and the audience member in favour of a People's Vote. SNP hardly allowed to speak . Audience clearly leave dominated. This is not BBC impartiality.</t>
  </si>
  <si>
    <t>count</t>
  </si>
  <si>
    <t>percentage</t>
  </si>
  <si>
    <t>Host</t>
  </si>
  <si>
    <t>Audience</t>
  </si>
  <si>
    <t>Guests</t>
  </si>
  <si>
    <t>Party</t>
  </si>
  <si>
    <t>Brexit</t>
  </si>
  <si>
    <t>text_type</t>
  </si>
  <si>
    <t>tweet</t>
  </si>
  <si>
    <t>Source</t>
  </si>
  <si>
    <t>Tweets</t>
  </si>
  <si>
    <t>News Headlines</t>
  </si>
  <si>
    <t>news article</t>
  </si>
  <si>
    <t>IEA analysis shows systemic bias against ‘Leave’ supporters on flagship BBC political programmes</t>
  </si>
  <si>
    <t>The outrageous new audience selection policy BBC Question Time revealed last night</t>
  </si>
  <si>
    <t>BBC’s Question Time accused of giving platform to far right</t>
  </si>
  <si>
    <t>BBC Question Time audience criticised for 'misrepresenting' Newcastle as viewers felt forced to switch off</t>
  </si>
  <si>
    <t xml:space="preserve">Question Time panel accused of overrepresenting pro-EU voices </t>
  </si>
  <si>
    <t>DOC-003</t>
  </si>
  <si>
    <t>DOC-002</t>
  </si>
  <si>
    <t>DOC-001</t>
  </si>
  <si>
    <t>DOC-004</t>
  </si>
  <si>
    <t>DOC-005</t>
  </si>
  <si>
    <t>DOC-006</t>
  </si>
  <si>
    <t>DOC-007</t>
  </si>
  <si>
    <t>DOC-008</t>
  </si>
  <si>
    <t>DOC-009</t>
  </si>
  <si>
    <t>DOC-010</t>
  </si>
  <si>
    <t>DOC-011</t>
  </si>
  <si>
    <t>DOC-012</t>
  </si>
  <si>
    <t>DOC-013</t>
  </si>
  <si>
    <t>DOC-015</t>
  </si>
  <si>
    <t>DOC-014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</si>
</sst>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BBCQT Bias Accusations - Who is biased?</a:t>
            </a:r>
          </a:p>
        </c:rich>
      </c:tx>
      <c:layout>
        <c:manualLayout>
          <c:xMode val="edge"/>
          <c:yMode val="edge"/>
          <c:x val="0.1824306649168853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FE-4AAA-8C69-F78C7A0631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FE-4AAA-8C69-F78C7A0631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FE-4AAA-8C69-F78C7A063167}"/>
              </c:ext>
            </c:extLst>
          </c:dPt>
          <c:cat>
            <c:strRef>
              <c:f>tweets_coded!$K$1:$M$1</c:f>
              <c:strCache>
                <c:ptCount val="3"/>
                <c:pt idx="0">
                  <c:v>Host</c:v>
                </c:pt>
                <c:pt idx="1">
                  <c:v>Audience</c:v>
                </c:pt>
                <c:pt idx="2">
                  <c:v>Guests</c:v>
                </c:pt>
              </c:strCache>
            </c:strRef>
          </c:cat>
          <c:val>
            <c:numRef>
              <c:f>tweets_coded!$K$2:$M$2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8-4EFD-B9BB-4ECAC540A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470240"/>
        <c:axId val="244061792"/>
      </c:barChart>
      <c:catAx>
        <c:axId val="28547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61792"/>
        <c:crosses val="autoZero"/>
        <c:auto val="1"/>
        <c:lblAlgn val="ctr"/>
        <c:lblOffset val="100"/>
        <c:noMultiLvlLbl val="0"/>
      </c:catAx>
      <c:valAx>
        <c:axId val="2440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BBCQT Bias Accustions - Type of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B-4846-9297-323FAA4045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2-44A7-AED9-F4B87978EFD7}"/>
              </c:ext>
            </c:extLst>
          </c:dPt>
          <c:dLbls>
            <c:delete val="1"/>
          </c:dLbls>
          <c:cat>
            <c:strRef>
              <c:f>tweets_coded!$N$1:$O$1</c:f>
              <c:strCache>
                <c:ptCount val="2"/>
                <c:pt idx="0">
                  <c:v>Party</c:v>
                </c:pt>
                <c:pt idx="1">
                  <c:v>Brexit</c:v>
                </c:pt>
              </c:strCache>
            </c:strRef>
          </c:cat>
          <c:val>
            <c:numRef>
              <c:f>tweets_coded!$N$2:$O$2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B-4846-9297-323FAA4045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5618864"/>
        <c:axId val="285620304"/>
      </c:barChart>
      <c:catAx>
        <c:axId val="2856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20304"/>
        <c:crosses val="autoZero"/>
        <c:auto val="1"/>
        <c:lblAlgn val="ctr"/>
        <c:lblOffset val="100"/>
        <c:noMultiLvlLbl val="0"/>
      </c:catAx>
      <c:valAx>
        <c:axId val="2856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BBCQT Bias Accusations - Who is biased?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tweets_headlines_coded!$J$2</c:f>
              <c:strCache>
                <c:ptCount val="1"/>
                <c:pt idx="0">
                  <c:v>Tweets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tweets_headlines_coded!$K$1:$M$1</c:f>
              <c:strCache>
                <c:ptCount val="3"/>
                <c:pt idx="0">
                  <c:v>Host</c:v>
                </c:pt>
                <c:pt idx="1">
                  <c:v>Audience</c:v>
                </c:pt>
                <c:pt idx="2">
                  <c:v>Guests</c:v>
                </c:pt>
              </c:strCache>
            </c:strRef>
          </c:cat>
          <c:val>
            <c:numRef>
              <c:f>tweets_headlines_coded!$K$2:$M$2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3-4D5D-B86D-23D237FE2253}"/>
            </c:ext>
          </c:extLst>
        </c:ser>
        <c:ser>
          <c:idx val="1"/>
          <c:order val="1"/>
          <c:tx>
            <c:strRef>
              <c:f>tweets_headlines_coded!$J$3</c:f>
              <c:strCache>
                <c:ptCount val="1"/>
                <c:pt idx="0">
                  <c:v>News Headlines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tweets_headlines_coded!$K$1:$M$1</c:f>
              <c:strCache>
                <c:ptCount val="3"/>
                <c:pt idx="0">
                  <c:v>Host</c:v>
                </c:pt>
                <c:pt idx="1">
                  <c:v>Audience</c:v>
                </c:pt>
                <c:pt idx="2">
                  <c:v>Guests</c:v>
                </c:pt>
              </c:strCache>
            </c:strRef>
          </c:cat>
          <c:val>
            <c:numRef>
              <c:f>tweets_headlines_coded!$K$3:$M$3</c:f>
              <c:numCache>
                <c:formatCode>0%</c:formatCode>
                <c:ptCount val="3"/>
                <c:pt idx="0">
                  <c:v>0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3-4D5D-B86D-23D237FE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754560"/>
        <c:axId val="1153749760"/>
      </c:barChart>
      <c:catAx>
        <c:axId val="11537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49760"/>
        <c:crosses val="autoZero"/>
        <c:auto val="1"/>
        <c:lblAlgn val="ctr"/>
        <c:lblOffset val="100"/>
        <c:noMultiLvlLbl val="0"/>
      </c:catAx>
      <c:valAx>
        <c:axId val="11537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BBCQT Bias Accustions - Type of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tweets_headlines_coded!$P$2</c:f>
              <c:strCache>
                <c:ptCount val="1"/>
                <c:pt idx="0">
                  <c:v>Tweets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tweets_headlines_coded!$Q$1:$R$1</c:f>
              <c:strCache>
                <c:ptCount val="2"/>
                <c:pt idx="0">
                  <c:v>Party</c:v>
                </c:pt>
                <c:pt idx="1">
                  <c:v>Brexit</c:v>
                </c:pt>
              </c:strCache>
            </c:strRef>
          </c:cat>
          <c:val>
            <c:numRef>
              <c:f>tweets_headlines_coded!$Q$2:$R$2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2-44CF-969C-EE3CABD4F509}"/>
            </c:ext>
          </c:extLst>
        </c:ser>
        <c:ser>
          <c:idx val="1"/>
          <c:order val="1"/>
          <c:tx>
            <c:strRef>
              <c:f>tweets_headlines_coded!$P$3</c:f>
              <c:strCache>
                <c:ptCount val="1"/>
                <c:pt idx="0">
                  <c:v>News Headlines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tweets_headlines_coded!$Q$1:$R$1</c:f>
              <c:strCache>
                <c:ptCount val="2"/>
                <c:pt idx="0">
                  <c:v>Party</c:v>
                </c:pt>
                <c:pt idx="1">
                  <c:v>Brexit</c:v>
                </c:pt>
              </c:strCache>
            </c:strRef>
          </c:cat>
          <c:val>
            <c:numRef>
              <c:f>tweets_headlines_coded!$Q$3:$R$3</c:f>
              <c:numCache>
                <c:formatCode>0%</c:formatCode>
                <c:ptCount val="2"/>
                <c:pt idx="0">
                  <c:v>0.2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2-44CF-969C-EE3CABD4F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265104"/>
        <c:axId val="1162267984"/>
      </c:barChart>
      <c:catAx>
        <c:axId val="11622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67984"/>
        <c:crosses val="autoZero"/>
        <c:auto val="1"/>
        <c:lblAlgn val="ctr"/>
        <c:lblOffset val="100"/>
        <c:noMultiLvlLbl val="0"/>
      </c:catAx>
      <c:valAx>
        <c:axId val="11622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587375</xdr:colOff>
      <xdr:row>3</xdr:row>
      <xdr:rowOff>15875</xdr:rowOff>
    </xdr:from>
    <xdr:to>
      <xdr:col>16</xdr:col>
      <xdr:colOff>282575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F5BEE-1F9B-914D-DD71-F72FC3D3C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593725</xdr:colOff>
      <xdr:row>18</xdr:row>
      <xdr:rowOff>149225</xdr:rowOff>
    </xdr:from>
    <xdr:to>
      <xdr:col>16</xdr:col>
      <xdr:colOff>288925</xdr:colOff>
      <xdr:row>33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D30FFA-8890-9F91-9DC8-3869C79C4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568325</xdr:colOff>
      <xdr:row>5</xdr:row>
      <xdr:rowOff>9525</xdr:rowOff>
    </xdr:from>
    <xdr:to>
      <xdr:col>17</xdr:col>
      <xdr:colOff>263525</xdr:colOff>
      <xdr:row>19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B3392D-2532-986E-8B63-B8D71B335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606425</xdr:colOff>
      <xdr:row>22</xdr:row>
      <xdr:rowOff>104775</xdr:rowOff>
    </xdr:from>
    <xdr:to>
      <xdr:col>17</xdr:col>
      <xdr:colOff>301625</xdr:colOff>
      <xdr:row>37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01375-354B-900E-82ED-5EEB81E34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CC05-C952-49F1-B8A7-609B1B64B1F4}">
  <dimension ref="A1:C11"/>
  <sheetViews>
    <sheetView workbookViewId="0">
      <selection activeCell="A2" sqref="A2:A11"/>
    </sheetView>
  </sheetViews>
  <sheetFormatPr defaultRowHeight="14.5" x14ac:dyDescent="0.35"/>
  <sheetData>
    <row r="1" spans="1:3" x14ac:dyDescent="0.35">
      <c r="A1" t="s">
        <v>8</v>
      </c>
      <c r="B1" t="s">
        <v>19</v>
      </c>
      <c r="C1" t="s">
        <v>7</v>
      </c>
    </row>
    <row r="2" spans="1:3" x14ac:dyDescent="0.35">
      <c r="A2" t="s">
        <v>32</v>
      </c>
      <c r="B2" t="s">
        <v>20</v>
      </c>
      <c r="C2" t="s">
        <v>0</v>
      </c>
    </row>
    <row r="3" spans="1:3" x14ac:dyDescent="0.35">
      <c r="A3" t="s">
        <v>31</v>
      </c>
      <c r="B3" t="s">
        <v>20</v>
      </c>
      <c r="C3" t="s">
        <v>1</v>
      </c>
    </row>
    <row r="4" spans="1:3" x14ac:dyDescent="0.35">
      <c r="A4" t="s">
        <v>30</v>
      </c>
      <c r="B4" t="s">
        <v>20</v>
      </c>
      <c r="C4" t="s">
        <v>2</v>
      </c>
    </row>
    <row r="5" spans="1:3" x14ac:dyDescent="0.35">
      <c r="A5" t="s">
        <v>33</v>
      </c>
      <c r="B5" t="s">
        <v>20</v>
      </c>
      <c r="C5" t="s">
        <v>3</v>
      </c>
    </row>
    <row r="6" spans="1:3" x14ac:dyDescent="0.35">
      <c r="A6" t="s">
        <v>34</v>
      </c>
      <c r="B6" t="s">
        <v>20</v>
      </c>
      <c r="C6" t="s">
        <v>4</v>
      </c>
    </row>
    <row r="7" spans="1:3" x14ac:dyDescent="0.35">
      <c r="A7" t="s">
        <v>35</v>
      </c>
      <c r="B7" t="s">
        <v>20</v>
      </c>
      <c r="C7" t="s">
        <v>5</v>
      </c>
    </row>
    <row r="8" spans="1:3" x14ac:dyDescent="0.35">
      <c r="A8" t="s">
        <v>36</v>
      </c>
      <c r="B8" t="s">
        <v>20</v>
      </c>
      <c r="C8" t="s">
        <v>9</v>
      </c>
    </row>
    <row r="9" spans="1:3" x14ac:dyDescent="0.35">
      <c r="A9" t="s">
        <v>37</v>
      </c>
      <c r="B9" t="s">
        <v>20</v>
      </c>
      <c r="C9" t="s">
        <v>10</v>
      </c>
    </row>
    <row r="10" spans="1:3" x14ac:dyDescent="0.35">
      <c r="A10" t="s">
        <v>38</v>
      </c>
      <c r="B10" t="s">
        <v>20</v>
      </c>
      <c r="C10" t="s">
        <v>11</v>
      </c>
    </row>
    <row r="11" spans="1:3" x14ac:dyDescent="0.35">
      <c r="A11" t="s">
        <v>39</v>
      </c>
      <c r="B11" t="s">
        <v>20</v>
      </c>
      <c r="C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734D-DFA3-4B57-8AE8-90B78A696528}">
  <dimension ref="A1:O14"/>
  <sheetViews>
    <sheetView workbookViewId="0">
      <selection activeCell="A2" sqref="A2:A11"/>
    </sheetView>
  </sheetViews>
  <sheetFormatPr defaultRowHeight="14.5" x14ac:dyDescent="0.35"/>
  <cols>
    <col min="3" max="3" width="19.81640625" customWidth="1"/>
  </cols>
  <sheetData>
    <row r="1" spans="1:15" x14ac:dyDescent="0.35">
      <c r="A1" t="s">
        <v>8</v>
      </c>
      <c r="B1" t="s">
        <v>19</v>
      </c>
      <c r="C1" t="s">
        <v>7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5">
      <c r="A2" t="s">
        <v>32</v>
      </c>
      <c r="B2" t="s">
        <v>20</v>
      </c>
      <c r="C2" t="s">
        <v>0</v>
      </c>
      <c r="D2">
        <v>0</v>
      </c>
      <c r="E2">
        <v>0</v>
      </c>
      <c r="F2">
        <v>1</v>
      </c>
      <c r="G2">
        <v>1</v>
      </c>
      <c r="H2">
        <v>0</v>
      </c>
      <c r="K2" s="1">
        <v>0.4</v>
      </c>
      <c r="L2" s="1">
        <v>0.4</v>
      </c>
      <c r="M2" s="1">
        <v>0.3</v>
      </c>
      <c r="N2" s="1">
        <v>0.7</v>
      </c>
      <c r="O2" s="1">
        <v>0.3</v>
      </c>
    </row>
    <row r="3" spans="1:15" x14ac:dyDescent="0.35">
      <c r="A3" t="s">
        <v>31</v>
      </c>
      <c r="B3" t="s">
        <v>20</v>
      </c>
      <c r="C3" t="s">
        <v>1</v>
      </c>
      <c r="D3">
        <v>0</v>
      </c>
      <c r="E3">
        <v>0</v>
      </c>
      <c r="F3">
        <v>1</v>
      </c>
      <c r="G3">
        <v>1</v>
      </c>
      <c r="H3">
        <v>0</v>
      </c>
    </row>
    <row r="4" spans="1:15" x14ac:dyDescent="0.35">
      <c r="A4" t="s">
        <v>30</v>
      </c>
      <c r="B4" t="s">
        <v>20</v>
      </c>
      <c r="C4" t="s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15" x14ac:dyDescent="0.35">
      <c r="A5" t="s">
        <v>33</v>
      </c>
      <c r="B5" t="s">
        <v>20</v>
      </c>
      <c r="C5" t="s">
        <v>3</v>
      </c>
      <c r="D5">
        <v>1</v>
      </c>
      <c r="E5">
        <v>0</v>
      </c>
      <c r="F5">
        <v>0</v>
      </c>
      <c r="G5">
        <v>0</v>
      </c>
      <c r="H5">
        <v>0</v>
      </c>
    </row>
    <row r="6" spans="1:15" x14ac:dyDescent="0.35">
      <c r="A6" t="s">
        <v>34</v>
      </c>
      <c r="B6" t="s">
        <v>20</v>
      </c>
      <c r="C6" t="s">
        <v>4</v>
      </c>
      <c r="D6">
        <v>0</v>
      </c>
      <c r="E6">
        <v>1</v>
      </c>
      <c r="F6">
        <v>0</v>
      </c>
      <c r="G6">
        <v>0</v>
      </c>
      <c r="H6">
        <v>0</v>
      </c>
    </row>
    <row r="7" spans="1:15" x14ac:dyDescent="0.35">
      <c r="A7" t="s">
        <v>35</v>
      </c>
      <c r="B7" t="s">
        <v>20</v>
      </c>
      <c r="C7" t="s">
        <v>5</v>
      </c>
      <c r="D7">
        <v>0</v>
      </c>
      <c r="E7">
        <v>0</v>
      </c>
      <c r="F7">
        <v>0</v>
      </c>
      <c r="G7">
        <v>1</v>
      </c>
      <c r="H7">
        <v>0</v>
      </c>
    </row>
    <row r="8" spans="1:15" x14ac:dyDescent="0.35">
      <c r="A8" t="s">
        <v>36</v>
      </c>
      <c r="B8" t="s">
        <v>20</v>
      </c>
      <c r="C8" t="s">
        <v>9</v>
      </c>
      <c r="D8">
        <v>0</v>
      </c>
      <c r="E8">
        <v>0</v>
      </c>
      <c r="F8">
        <v>1</v>
      </c>
      <c r="G8">
        <v>1</v>
      </c>
      <c r="H8">
        <v>1</v>
      </c>
    </row>
    <row r="9" spans="1:15" x14ac:dyDescent="0.35">
      <c r="A9" t="s">
        <v>37</v>
      </c>
      <c r="B9" t="s">
        <v>20</v>
      </c>
      <c r="C9" t="s">
        <v>10</v>
      </c>
      <c r="D9">
        <v>1</v>
      </c>
      <c r="E9">
        <v>1</v>
      </c>
      <c r="F9">
        <v>0</v>
      </c>
      <c r="G9">
        <v>1</v>
      </c>
      <c r="H9">
        <v>1</v>
      </c>
    </row>
    <row r="10" spans="1:15" x14ac:dyDescent="0.35">
      <c r="A10" t="s">
        <v>38</v>
      </c>
      <c r="B10" t="s">
        <v>20</v>
      </c>
      <c r="C10" t="s">
        <v>11</v>
      </c>
      <c r="D10">
        <v>1</v>
      </c>
      <c r="E10">
        <v>1</v>
      </c>
      <c r="F10">
        <v>0</v>
      </c>
      <c r="G10">
        <v>1</v>
      </c>
      <c r="H10">
        <v>1</v>
      </c>
    </row>
    <row r="11" spans="1:15" x14ac:dyDescent="0.35">
      <c r="A11" t="s">
        <v>39</v>
      </c>
      <c r="B11" t="s">
        <v>20</v>
      </c>
      <c r="C11" t="s">
        <v>6</v>
      </c>
      <c r="D11">
        <v>0</v>
      </c>
      <c r="E11">
        <v>0</v>
      </c>
      <c r="F11">
        <v>0</v>
      </c>
      <c r="G11">
        <v>1</v>
      </c>
      <c r="H11">
        <v>0</v>
      </c>
    </row>
    <row r="13" spans="1:15" x14ac:dyDescent="0.35">
      <c r="C13" t="s">
        <v>12</v>
      </c>
      <c r="D13">
        <f>SUM(D2:D12)</f>
        <v>4</v>
      </c>
      <c r="E13">
        <f t="shared" ref="E13:H13" si="0">SUM(E2:E12)</f>
        <v>4</v>
      </c>
      <c r="F13">
        <f t="shared" si="0"/>
        <v>3</v>
      </c>
      <c r="G13">
        <f t="shared" si="0"/>
        <v>7</v>
      </c>
      <c r="H13">
        <f t="shared" si="0"/>
        <v>3</v>
      </c>
    </row>
    <row r="14" spans="1:15" x14ac:dyDescent="0.35">
      <c r="C14" t="s">
        <v>13</v>
      </c>
      <c r="D14">
        <f>D13/10</f>
        <v>0.4</v>
      </c>
      <c r="E14">
        <f t="shared" ref="E14:H14" si="1">E13/10</f>
        <v>0.4</v>
      </c>
      <c r="F14">
        <f t="shared" si="1"/>
        <v>0.3</v>
      </c>
      <c r="G14">
        <f t="shared" si="1"/>
        <v>0.7</v>
      </c>
      <c r="H14">
        <f t="shared" si="1"/>
        <v>0.3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9724-A166-4E8D-B37D-2F8910BAE6E9}">
  <dimension ref="A1:R25"/>
  <sheetViews>
    <sheetView tabSelected="1" topLeftCell="B1" workbookViewId="0">
      <selection activeCell="C11" sqref="C11"/>
    </sheetView>
  </sheetViews>
  <sheetFormatPr defaultRowHeight="14.5" x14ac:dyDescent="0.35"/>
  <cols>
    <col min="3" max="3" width="19.81640625" customWidth="1"/>
  </cols>
  <sheetData>
    <row r="1" spans="1:18" x14ac:dyDescent="0.35">
      <c r="A1" t="s">
        <v>8</v>
      </c>
      <c r="B1" t="s">
        <v>19</v>
      </c>
      <c r="C1" t="s">
        <v>7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J1" t="s">
        <v>21</v>
      </c>
      <c r="K1" t="s">
        <v>14</v>
      </c>
      <c r="L1" t="s">
        <v>15</v>
      </c>
      <c r="M1" t="s">
        <v>16</v>
      </c>
      <c r="P1" t="s">
        <v>21</v>
      </c>
      <c r="Q1" t="s">
        <v>17</v>
      </c>
      <c r="R1" t="s">
        <v>18</v>
      </c>
    </row>
    <row r="2" spans="1:18" x14ac:dyDescent="0.35">
      <c r="A2" t="s">
        <v>32</v>
      </c>
      <c r="B2" t="s">
        <v>20</v>
      </c>
      <c r="C2" t="s">
        <v>0</v>
      </c>
      <c r="D2">
        <v>0</v>
      </c>
      <c r="E2">
        <v>0</v>
      </c>
      <c r="F2">
        <v>1</v>
      </c>
      <c r="G2">
        <v>1</v>
      </c>
      <c r="H2">
        <v>0</v>
      </c>
      <c r="J2" t="s">
        <v>22</v>
      </c>
      <c r="K2" s="1">
        <v>0.4</v>
      </c>
      <c r="L2" s="1">
        <v>0.4</v>
      </c>
      <c r="M2" s="1">
        <v>0.3</v>
      </c>
      <c r="P2" t="s">
        <v>22</v>
      </c>
      <c r="Q2" s="1">
        <v>0.7</v>
      </c>
      <c r="R2" s="1">
        <v>0.3</v>
      </c>
    </row>
    <row r="3" spans="1:18" x14ac:dyDescent="0.35">
      <c r="A3" t="s">
        <v>31</v>
      </c>
      <c r="B3" t="s">
        <v>20</v>
      </c>
      <c r="C3" t="s">
        <v>1</v>
      </c>
      <c r="D3">
        <v>0</v>
      </c>
      <c r="E3">
        <v>0</v>
      </c>
      <c r="F3">
        <v>1</v>
      </c>
      <c r="G3">
        <v>1</v>
      </c>
      <c r="H3">
        <v>0</v>
      </c>
      <c r="J3" t="s">
        <v>23</v>
      </c>
      <c r="K3" s="1">
        <v>0</v>
      </c>
      <c r="L3" s="1">
        <v>0.4</v>
      </c>
      <c r="M3" s="1">
        <v>0.2</v>
      </c>
      <c r="P3" t="s">
        <v>23</v>
      </c>
      <c r="Q3" s="1">
        <v>0.2</v>
      </c>
      <c r="R3" s="1">
        <v>0.4</v>
      </c>
    </row>
    <row r="4" spans="1:18" x14ac:dyDescent="0.35">
      <c r="A4" t="s">
        <v>30</v>
      </c>
      <c r="B4" t="s">
        <v>20</v>
      </c>
      <c r="C4" t="s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18" x14ac:dyDescent="0.35">
      <c r="A5" t="s">
        <v>33</v>
      </c>
      <c r="B5" t="s">
        <v>20</v>
      </c>
      <c r="C5" t="s">
        <v>3</v>
      </c>
      <c r="D5">
        <v>1</v>
      </c>
      <c r="E5">
        <v>0</v>
      </c>
      <c r="F5">
        <v>0</v>
      </c>
      <c r="G5">
        <v>0</v>
      </c>
      <c r="H5">
        <v>0</v>
      </c>
    </row>
    <row r="6" spans="1:18" x14ac:dyDescent="0.35">
      <c r="A6" t="s">
        <v>34</v>
      </c>
      <c r="B6" t="s">
        <v>20</v>
      </c>
      <c r="C6" t="s">
        <v>4</v>
      </c>
      <c r="D6">
        <v>0</v>
      </c>
      <c r="E6">
        <v>1</v>
      </c>
      <c r="F6">
        <v>0</v>
      </c>
      <c r="G6">
        <v>0</v>
      </c>
      <c r="H6">
        <v>0</v>
      </c>
    </row>
    <row r="7" spans="1:18" x14ac:dyDescent="0.35">
      <c r="A7" t="s">
        <v>35</v>
      </c>
      <c r="B7" t="s">
        <v>20</v>
      </c>
      <c r="C7" t="s">
        <v>5</v>
      </c>
      <c r="D7">
        <v>0</v>
      </c>
      <c r="E7">
        <v>0</v>
      </c>
      <c r="F7">
        <v>0</v>
      </c>
      <c r="G7">
        <v>1</v>
      </c>
      <c r="H7">
        <v>0</v>
      </c>
    </row>
    <row r="8" spans="1:18" x14ac:dyDescent="0.35">
      <c r="A8" t="s">
        <v>36</v>
      </c>
      <c r="B8" t="s">
        <v>20</v>
      </c>
      <c r="C8" t="s">
        <v>9</v>
      </c>
      <c r="D8">
        <v>0</v>
      </c>
      <c r="E8">
        <v>0</v>
      </c>
      <c r="F8">
        <v>1</v>
      </c>
      <c r="G8">
        <v>1</v>
      </c>
      <c r="H8">
        <v>1</v>
      </c>
    </row>
    <row r="9" spans="1:18" x14ac:dyDescent="0.35">
      <c r="A9" t="s">
        <v>37</v>
      </c>
      <c r="B9" t="s">
        <v>20</v>
      </c>
      <c r="C9" t="s">
        <v>10</v>
      </c>
      <c r="D9">
        <v>1</v>
      </c>
      <c r="E9">
        <v>1</v>
      </c>
      <c r="F9">
        <v>0</v>
      </c>
      <c r="G9">
        <v>1</v>
      </c>
      <c r="H9">
        <v>1</v>
      </c>
    </row>
    <row r="10" spans="1:18" x14ac:dyDescent="0.35">
      <c r="A10" t="s">
        <v>38</v>
      </c>
      <c r="B10" t="s">
        <v>20</v>
      </c>
      <c r="C10" t="s">
        <v>11</v>
      </c>
      <c r="D10">
        <v>1</v>
      </c>
      <c r="E10">
        <v>1</v>
      </c>
      <c r="F10">
        <v>0</v>
      </c>
      <c r="G10">
        <v>1</v>
      </c>
      <c r="H10">
        <v>1</v>
      </c>
    </row>
    <row r="11" spans="1:18" x14ac:dyDescent="0.35">
      <c r="A11" t="s">
        <v>39</v>
      </c>
      <c r="B11" t="s">
        <v>20</v>
      </c>
      <c r="C11" t="s">
        <v>6</v>
      </c>
      <c r="D11">
        <v>0</v>
      </c>
      <c r="E11">
        <v>0</v>
      </c>
      <c r="F11">
        <v>0</v>
      </c>
      <c r="G11">
        <v>1</v>
      </c>
      <c r="H11">
        <v>0</v>
      </c>
    </row>
    <row r="13" spans="1:18" x14ac:dyDescent="0.35">
      <c r="C13" t="s">
        <v>12</v>
      </c>
      <c r="D13">
        <f>SUM(D2:D12)</f>
        <v>4</v>
      </c>
      <c r="E13">
        <f t="shared" ref="E13:H13" si="0">SUM(E2:E12)</f>
        <v>4</v>
      </c>
      <c r="F13">
        <f t="shared" si="0"/>
        <v>3</v>
      </c>
      <c r="G13">
        <f t="shared" si="0"/>
        <v>7</v>
      </c>
      <c r="H13">
        <f t="shared" si="0"/>
        <v>3</v>
      </c>
    </row>
    <row r="14" spans="1:18" x14ac:dyDescent="0.35">
      <c r="C14" t="s">
        <v>13</v>
      </c>
      <c r="D14">
        <f>D13/10</f>
        <v>0.4</v>
      </c>
      <c r="E14">
        <f t="shared" ref="E14:H14" si="1">E13/10</f>
        <v>0.4</v>
      </c>
      <c r="F14">
        <f t="shared" si="1"/>
        <v>0.3</v>
      </c>
      <c r="G14">
        <f t="shared" si="1"/>
        <v>0.7</v>
      </c>
      <c r="H14">
        <f t="shared" si="1"/>
        <v>0.3</v>
      </c>
    </row>
    <row r="17" spans="1:8" x14ac:dyDescent="0.35">
      <c r="D17" t="s">
        <v>14</v>
      </c>
      <c r="E17" t="s">
        <v>15</v>
      </c>
      <c r="F17" t="s">
        <v>16</v>
      </c>
      <c r="G17" t="s">
        <v>17</v>
      </c>
      <c r="H17" t="s">
        <v>18</v>
      </c>
    </row>
    <row r="18" spans="1:8" x14ac:dyDescent="0.35">
      <c r="A18" t="s">
        <v>40</v>
      </c>
      <c r="B18" t="s">
        <v>24</v>
      </c>
      <c r="C18" t="s">
        <v>25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 x14ac:dyDescent="0.35">
      <c r="A19" t="s">
        <v>41</v>
      </c>
      <c r="B19" t="s">
        <v>24</v>
      </c>
      <c r="C19" t="s">
        <v>26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35">
      <c r="A20" t="s">
        <v>42</v>
      </c>
      <c r="B20" t="s">
        <v>24</v>
      </c>
      <c r="C20" t="s">
        <v>27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35">
      <c r="A21" t="s">
        <v>44</v>
      </c>
      <c r="B21" t="s">
        <v>24</v>
      </c>
      <c r="C21" t="s">
        <v>28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35">
      <c r="A22" t="s">
        <v>43</v>
      </c>
      <c r="B22" t="s">
        <v>24</v>
      </c>
      <c r="C22" t="s">
        <v>29</v>
      </c>
      <c r="D22">
        <v>0</v>
      </c>
      <c r="E22">
        <v>0</v>
      </c>
      <c r="F22">
        <v>1</v>
      </c>
      <c r="G22">
        <v>0</v>
      </c>
      <c r="H22">
        <v>1</v>
      </c>
    </row>
    <row r="24" spans="1:8" x14ac:dyDescent="0.35">
      <c r="C24" t="s">
        <v>12</v>
      </c>
      <c r="D24">
        <f>SUM(D18:D23)</f>
        <v>0</v>
      </c>
      <c r="E24">
        <f t="shared" ref="E24:H24" si="2">SUM(E18:E23)</f>
        <v>2</v>
      </c>
      <c r="F24">
        <f t="shared" si="2"/>
        <v>1</v>
      </c>
      <c r="G24">
        <f t="shared" si="2"/>
        <v>1</v>
      </c>
      <c r="H24">
        <f t="shared" si="2"/>
        <v>2</v>
      </c>
    </row>
    <row r="25" spans="1:8" x14ac:dyDescent="0.35">
      <c r="C25" t="s">
        <v>13</v>
      </c>
      <c r="D25">
        <f>D24/5</f>
        <v>0</v>
      </c>
      <c r="E25">
        <f t="shared" ref="E25:H25" si="3">E24/5</f>
        <v>0.4</v>
      </c>
      <c r="F25">
        <f t="shared" si="3"/>
        <v>0.2</v>
      </c>
      <c r="G25">
        <f t="shared" si="3"/>
        <v>0.2</v>
      </c>
      <c r="H25">
        <f t="shared" si="3"/>
        <v>0.4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8E8B005C406E48BD37555968176DB8" ma:contentTypeVersion="6" ma:contentTypeDescription="Create a new document." ma:contentTypeScope="" ma:versionID="b3e3f661400904c647f9504229784b56">
  <xsd:schema xmlns:xsd="http://www.w3.org/2001/XMLSchema" xmlns:xs="http://www.w3.org/2001/XMLSchema" xmlns:p="http://schemas.microsoft.com/office/2006/metadata/properties" xmlns:ns3="5c295fab-9815-4a7f-8aeb-326495fe3bd1" targetNamespace="http://schemas.microsoft.com/office/2006/metadata/properties" ma:root="true" ma:fieldsID="486770fbc2bbf89bb6bcfb29a62a5f2f" ns3:_="">
    <xsd:import namespace="5c295fab-9815-4a7f-8aeb-326495fe3b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95fab-9815-4a7f-8aeb-326495fe3b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66EF2-1CB0-4CA8-825A-8B9CBE118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295fab-9815-4a7f-8aeb-326495fe3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23A8A8-D4BD-4958-B5A3-6878157059F7}">
  <ds:schemaRefs>
    <ds:schemaRef ds:uri="http://www.w3.org/XML/1998/namespace"/>
    <ds:schemaRef ds:uri="5c295fab-9815-4a7f-8aeb-326495fe3bd1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49233-EA8D-41D3-9058-BA17578938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tweets</vt:lpstr>
      <vt:lpstr>tweets_coded</vt:lpstr>
      <vt:lpstr>tweets_headlines_coded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Boyle</dc:creator>
  <cp:lastModifiedBy>Brian Boyle</cp:lastModifiedBy>
  <dcterms:created xsi:type="dcterms:W3CDTF">2024-03-16T16:44:45Z</dcterms:created>
  <dcterms:modified xsi:type="dcterms:W3CDTF">2024-03-17T14:43:30Z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0x010100258E8B005C406E48BD37555968176DB8</vt:lpwstr>
  </property>
</Properties>
</file>